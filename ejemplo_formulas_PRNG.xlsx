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os y Secuencia" sheetId="1" state="visible" r:id="rId1"/>
    <sheet xmlns:r="http://schemas.openxmlformats.org/officeDocument/2006/relationships" name="Grafica de Independ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4338CA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1E293B"/>
      <sz val="10"/>
    </font>
    <font>
      <name val="Arial"/>
      <b val="1"/>
      <color rgb="001E293B"/>
      <sz val="10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4338CA"/>
        <bgColor rgb="004338CA"/>
      </patternFill>
    </fill>
    <fill>
      <patternFill patternType="solid">
        <fgColor rgb="00312E81"/>
        <bgColor rgb="00312E81"/>
      </patternFill>
    </fill>
    <fill>
      <patternFill patternType="solid">
        <fgColor rgb="0000D494"/>
        <bgColor rgb="0000D494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4338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4" fillId="8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Grafico de Dispersion / Retardo (Independencia R_i vs R_{i+1})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D494"/>
              </a:solidFill>
              <a:ln xmlns:a="http://schemas.openxmlformats.org/drawingml/2006/main">
                <a:solidFill>
                  <a:srgbClr val="4338CA"/>
                </a:solidFill>
                <a:prstDash val="solid"/>
              </a:ln>
            </spPr>
          </marker>
          <xVal>
            <numRef>
              <f>'Grafica de Independencia'!$A$6:$A$24</f>
            </numRef>
          </xVal>
          <yVal>
            <numRef>
              <f>'Grafica de Independencia'!$B$6:$B$24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R_i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R_{i+1}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23" customWidth="1" min="2" max="2"/>
    <col width="17" customWidth="1" min="3" max="3"/>
    <col width="63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SIMULACION DIGITAL - CONGRUENCIAL LINEAL MIXTO</t>
        </is>
      </c>
    </row>
    <row r="2"/>
    <row r="3">
      <c r="A3" s="2" t="inlineStr">
        <is>
          <t>Diagnostico de Periodo: Periodo Completo Garantizado por Hull-Dobell (N = 32).</t>
        </is>
      </c>
    </row>
    <row r="4"/>
    <row r="5">
      <c r="A5" s="3" t="inlineStr">
        <is>
          <t>PARAMETROS Y VARIABLES DE ENTRADA</t>
        </is>
      </c>
    </row>
    <row r="6">
      <c r="A6" s="4" t="inlineStr">
        <is>
          <t>Variable</t>
        </is>
      </c>
      <c r="B6" s="4" t="inlineStr">
        <is>
          <t>Denominacion</t>
        </is>
      </c>
      <c r="C6" s="4" t="inlineStr">
        <is>
          <t>Valor</t>
        </is>
      </c>
      <c r="D6" s="4" t="inlineStr">
        <is>
          <t>Descripcion y Dominio</t>
        </is>
      </c>
    </row>
    <row r="7">
      <c r="A7" s="5" t="inlineStr">
        <is>
          <t>X0</t>
        </is>
      </c>
      <c r="B7" s="6" t="inlineStr">
        <is>
          <t>Semilla Inicial</t>
        </is>
      </c>
      <c r="C7" s="7" t="n">
        <v>7</v>
      </c>
      <c r="D7" s="6" t="inlineStr">
        <is>
          <t>0 &lt;= X0 &lt; m</t>
        </is>
      </c>
    </row>
    <row r="8">
      <c r="A8" s="5" t="inlineStr">
        <is>
          <t>a</t>
        </is>
      </c>
      <c r="B8" s="6" t="inlineStr">
        <is>
          <t>Multiplicador</t>
        </is>
      </c>
      <c r="C8" s="7" t="n">
        <v>5</v>
      </c>
      <c r="D8" s="6" t="inlineStr">
        <is>
          <t>1 &lt; a &lt; m (Hull-Dobell: todo primo divide a-1, 4 divide a-1)</t>
        </is>
      </c>
    </row>
    <row r="9">
      <c r="A9" s="5" t="inlineStr">
        <is>
          <t>c</t>
        </is>
      </c>
      <c r="B9" s="6" t="inlineStr">
        <is>
          <t>Incremento / Aditivo</t>
        </is>
      </c>
      <c r="C9" s="7" t="n">
        <v>3</v>
      </c>
      <c r="D9" s="6" t="inlineStr">
        <is>
          <t>1 &lt;= c &lt; m (Hull-Dobell: mcd(c,m)=1)</t>
        </is>
      </c>
    </row>
    <row r="10">
      <c r="A10" s="5" t="inlineStr">
        <is>
          <t>m</t>
        </is>
      </c>
      <c r="B10" s="6" t="inlineStr">
        <is>
          <t>Modulo</t>
        </is>
      </c>
      <c r="C10" s="7" t="n">
        <v>32</v>
      </c>
      <c r="D10" s="6" t="inlineStr">
        <is>
          <t>m &gt; X0, a, c. Factores primos: [2]</t>
        </is>
      </c>
    </row>
    <row r="11">
      <c r="A11" s="5" t="inlineStr">
        <is>
          <t>n</t>
        </is>
      </c>
      <c r="B11" s="6" t="inlineStr">
        <is>
          <t>Cantidad a Generar</t>
        </is>
      </c>
      <c r="C11" s="7" t="n">
        <v>20</v>
      </c>
      <c r="D11" s="6" t="inlineStr">
        <is>
          <t>Total de numeros solicitados</t>
        </is>
      </c>
    </row>
    <row r="12"/>
    <row r="13"/>
    <row r="14">
      <c r="A14" s="3" t="inlineStr">
        <is>
          <t>TABLA DE CALCULOS ITERATIVOS Y VALORES GENERADOS (formulas nativas de Excel)</t>
        </is>
      </c>
    </row>
    <row r="15">
      <c r="A15" s="8" t="inlineStr">
        <is>
          <t>i</t>
        </is>
      </c>
      <c r="B15" s="8" t="inlineStr">
        <is>
          <t>X_i</t>
        </is>
      </c>
      <c r="C15" s="8" t="inlineStr">
        <is>
          <t>(a x X_i + c)</t>
        </is>
      </c>
      <c r="D15" s="8" t="inlineStr">
        <is>
          <t>X_{i+1} = (aX_i+c) mod m</t>
        </is>
      </c>
      <c r="E15" s="8" t="inlineStr">
        <is>
          <t>R_i = X_i / m</t>
        </is>
      </c>
    </row>
    <row r="16">
      <c r="A16" s="9" t="n">
        <v>1</v>
      </c>
      <c r="B16" s="10">
        <f>$C$7</f>
        <v/>
      </c>
      <c r="C16" s="9">
        <f>$C$8*B16+$C$9</f>
        <v/>
      </c>
      <c r="D16" s="11">
        <f>MOD(C16,$C$10)</f>
        <v/>
      </c>
      <c r="E16" s="12">
        <f>B16/$C$10</f>
        <v/>
      </c>
    </row>
    <row r="17">
      <c r="A17" s="13" t="n">
        <v>2</v>
      </c>
      <c r="B17" s="14">
        <f>D16</f>
        <v/>
      </c>
      <c r="C17" s="13">
        <f>$C$8*B17+$C$9</f>
        <v/>
      </c>
      <c r="D17" s="15">
        <f>MOD(C17,$C$10)</f>
        <v/>
      </c>
      <c r="E17" s="16">
        <f>B17/$C$10</f>
        <v/>
      </c>
    </row>
    <row r="18">
      <c r="A18" s="9" t="n">
        <v>3</v>
      </c>
      <c r="B18" s="10">
        <f>D17</f>
        <v/>
      </c>
      <c r="C18" s="9">
        <f>$C$8*B18+$C$9</f>
        <v/>
      </c>
      <c r="D18" s="11">
        <f>MOD(C18,$C$10)</f>
        <v/>
      </c>
      <c r="E18" s="12">
        <f>B18/$C$10</f>
        <v/>
      </c>
    </row>
    <row r="19">
      <c r="A19" s="13" t="n">
        <v>4</v>
      </c>
      <c r="B19" s="14">
        <f>D18</f>
        <v/>
      </c>
      <c r="C19" s="13">
        <f>$C$8*B19+$C$9</f>
        <v/>
      </c>
      <c r="D19" s="15">
        <f>MOD(C19,$C$10)</f>
        <v/>
      </c>
      <c r="E19" s="16">
        <f>B19/$C$10</f>
        <v/>
      </c>
    </row>
    <row r="20">
      <c r="A20" s="9" t="n">
        <v>5</v>
      </c>
      <c r="B20" s="10">
        <f>D19</f>
        <v/>
      </c>
      <c r="C20" s="9">
        <f>$C$8*B20+$C$9</f>
        <v/>
      </c>
      <c r="D20" s="11">
        <f>MOD(C20,$C$10)</f>
        <v/>
      </c>
      <c r="E20" s="12">
        <f>B20/$C$10</f>
        <v/>
      </c>
    </row>
    <row r="21">
      <c r="A21" s="13" t="n">
        <v>6</v>
      </c>
      <c r="B21" s="14">
        <f>D20</f>
        <v/>
      </c>
      <c r="C21" s="13">
        <f>$C$8*B21+$C$9</f>
        <v/>
      </c>
      <c r="D21" s="15">
        <f>MOD(C21,$C$10)</f>
        <v/>
      </c>
      <c r="E21" s="16">
        <f>B21/$C$10</f>
        <v/>
      </c>
    </row>
    <row r="22">
      <c r="A22" s="9" t="n">
        <v>7</v>
      </c>
      <c r="B22" s="10">
        <f>D21</f>
        <v/>
      </c>
      <c r="C22" s="9">
        <f>$C$8*B22+$C$9</f>
        <v/>
      </c>
      <c r="D22" s="11">
        <f>MOD(C22,$C$10)</f>
        <v/>
      </c>
      <c r="E22" s="12">
        <f>B22/$C$10</f>
        <v/>
      </c>
    </row>
    <row r="23">
      <c r="A23" s="13" t="n">
        <v>8</v>
      </c>
      <c r="B23" s="14">
        <f>D22</f>
        <v/>
      </c>
      <c r="C23" s="13">
        <f>$C$8*B23+$C$9</f>
        <v/>
      </c>
      <c r="D23" s="15">
        <f>MOD(C23,$C$10)</f>
        <v/>
      </c>
      <c r="E23" s="16">
        <f>B23/$C$10</f>
        <v/>
      </c>
    </row>
    <row r="24">
      <c r="A24" s="9" t="n">
        <v>9</v>
      </c>
      <c r="B24" s="10">
        <f>D23</f>
        <v/>
      </c>
      <c r="C24" s="9">
        <f>$C$8*B24+$C$9</f>
        <v/>
      </c>
      <c r="D24" s="11">
        <f>MOD(C24,$C$10)</f>
        <v/>
      </c>
      <c r="E24" s="12">
        <f>B24/$C$10</f>
        <v/>
      </c>
    </row>
    <row r="25">
      <c r="A25" s="13" t="n">
        <v>10</v>
      </c>
      <c r="B25" s="14">
        <f>D24</f>
        <v/>
      </c>
      <c r="C25" s="13">
        <f>$C$8*B25+$C$9</f>
        <v/>
      </c>
      <c r="D25" s="15">
        <f>MOD(C25,$C$10)</f>
        <v/>
      </c>
      <c r="E25" s="16">
        <f>B25/$C$10</f>
        <v/>
      </c>
    </row>
    <row r="26">
      <c r="A26" s="9" t="n">
        <v>11</v>
      </c>
      <c r="B26" s="10">
        <f>D25</f>
        <v/>
      </c>
      <c r="C26" s="9">
        <f>$C$8*B26+$C$9</f>
        <v/>
      </c>
      <c r="D26" s="11">
        <f>MOD(C26,$C$10)</f>
        <v/>
      </c>
      <c r="E26" s="12">
        <f>B26/$C$10</f>
        <v/>
      </c>
    </row>
    <row r="27">
      <c r="A27" s="13" t="n">
        <v>12</v>
      </c>
      <c r="B27" s="14">
        <f>D26</f>
        <v/>
      </c>
      <c r="C27" s="13">
        <f>$C$8*B27+$C$9</f>
        <v/>
      </c>
      <c r="D27" s="15">
        <f>MOD(C27,$C$10)</f>
        <v/>
      </c>
      <c r="E27" s="16">
        <f>B27/$C$10</f>
        <v/>
      </c>
    </row>
    <row r="28">
      <c r="A28" s="9" t="n">
        <v>13</v>
      </c>
      <c r="B28" s="10">
        <f>D27</f>
        <v/>
      </c>
      <c r="C28" s="9">
        <f>$C$8*B28+$C$9</f>
        <v/>
      </c>
      <c r="D28" s="11">
        <f>MOD(C28,$C$10)</f>
        <v/>
      </c>
      <c r="E28" s="12">
        <f>B28/$C$10</f>
        <v/>
      </c>
    </row>
    <row r="29">
      <c r="A29" s="13" t="n">
        <v>14</v>
      </c>
      <c r="B29" s="14">
        <f>D28</f>
        <v/>
      </c>
      <c r="C29" s="13">
        <f>$C$8*B29+$C$9</f>
        <v/>
      </c>
      <c r="D29" s="15">
        <f>MOD(C29,$C$10)</f>
        <v/>
      </c>
      <c r="E29" s="16">
        <f>B29/$C$10</f>
        <v/>
      </c>
    </row>
    <row r="30">
      <c r="A30" s="9" t="n">
        <v>15</v>
      </c>
      <c r="B30" s="10">
        <f>D29</f>
        <v/>
      </c>
      <c r="C30" s="9">
        <f>$C$8*B30+$C$9</f>
        <v/>
      </c>
      <c r="D30" s="11">
        <f>MOD(C30,$C$10)</f>
        <v/>
      </c>
      <c r="E30" s="12">
        <f>B30/$C$10</f>
        <v/>
      </c>
    </row>
    <row r="31">
      <c r="A31" s="13" t="n">
        <v>16</v>
      </c>
      <c r="B31" s="14">
        <f>D30</f>
        <v/>
      </c>
      <c r="C31" s="13">
        <f>$C$8*B31+$C$9</f>
        <v/>
      </c>
      <c r="D31" s="15">
        <f>MOD(C31,$C$10)</f>
        <v/>
      </c>
      <c r="E31" s="16">
        <f>B31/$C$10</f>
        <v/>
      </c>
    </row>
    <row r="32">
      <c r="A32" s="9" t="n">
        <v>17</v>
      </c>
      <c r="B32" s="10">
        <f>D31</f>
        <v/>
      </c>
      <c r="C32" s="9">
        <f>$C$8*B32+$C$9</f>
        <v/>
      </c>
      <c r="D32" s="11">
        <f>MOD(C32,$C$10)</f>
        <v/>
      </c>
      <c r="E32" s="12">
        <f>B32/$C$10</f>
        <v/>
      </c>
    </row>
    <row r="33">
      <c r="A33" s="13" t="n">
        <v>18</v>
      </c>
      <c r="B33" s="14">
        <f>D32</f>
        <v/>
      </c>
      <c r="C33" s="13">
        <f>$C$8*B33+$C$9</f>
        <v/>
      </c>
      <c r="D33" s="15">
        <f>MOD(C33,$C$10)</f>
        <v/>
      </c>
      <c r="E33" s="16">
        <f>B33/$C$10</f>
        <v/>
      </c>
    </row>
    <row r="34">
      <c r="A34" s="9" t="n">
        <v>19</v>
      </c>
      <c r="B34" s="10">
        <f>D33</f>
        <v/>
      </c>
      <c r="C34" s="9">
        <f>$C$8*B34+$C$9</f>
        <v/>
      </c>
      <c r="D34" s="11">
        <f>MOD(C34,$C$10)</f>
        <v/>
      </c>
      <c r="E34" s="12">
        <f>B34/$C$10</f>
        <v/>
      </c>
    </row>
    <row r="35">
      <c r="A35" s="13" t="n">
        <v>20</v>
      </c>
      <c r="B35" s="14">
        <f>D34</f>
        <v/>
      </c>
      <c r="C35" s="13">
        <f>$C$8*B35+$C$9</f>
        <v/>
      </c>
      <c r="D35" s="15">
        <f>MOD(C35,$C$10)</f>
        <v/>
      </c>
      <c r="E35" s="16">
        <f>B35/$C$10</f>
        <v/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7" t="inlineStr">
        <is>
          <t>ANALISIS DE INDEPENDENCIA (RETARDO LAG-1) - CONGRUENCIAL LINEAL MIXTO</t>
        </is>
      </c>
    </row>
    <row r="2"/>
    <row r="3"/>
    <row r="4">
      <c r="A4" s="3" t="inlineStr">
        <is>
          <t>PARES DE RETARDO (R_i vs R_{i+1}) - enlazados a la hoja de calculos</t>
        </is>
      </c>
    </row>
    <row r="5">
      <c r="A5" s="18" t="inlineStr">
        <is>
          <t>R_i (Eje X)</t>
        </is>
      </c>
      <c r="B5" s="18" t="inlineStr">
        <is>
          <t>R_{i+1} (Eje Y)</t>
        </is>
      </c>
    </row>
    <row r="6">
      <c r="A6" s="19">
        <f>'Calculos y Secuencia'!E16</f>
        <v/>
      </c>
      <c r="B6" s="19">
        <f>'Calculos y Secuencia'!E17</f>
        <v/>
      </c>
    </row>
    <row r="7">
      <c r="A7" s="19">
        <f>'Calculos y Secuencia'!E17</f>
        <v/>
      </c>
      <c r="B7" s="19">
        <f>'Calculos y Secuencia'!E18</f>
        <v/>
      </c>
    </row>
    <row r="8">
      <c r="A8" s="19">
        <f>'Calculos y Secuencia'!E18</f>
        <v/>
      </c>
      <c r="B8" s="19">
        <f>'Calculos y Secuencia'!E19</f>
        <v/>
      </c>
    </row>
    <row r="9">
      <c r="A9" s="19">
        <f>'Calculos y Secuencia'!E19</f>
        <v/>
      </c>
      <c r="B9" s="19">
        <f>'Calculos y Secuencia'!E20</f>
        <v/>
      </c>
    </row>
    <row r="10">
      <c r="A10" s="19">
        <f>'Calculos y Secuencia'!E20</f>
        <v/>
      </c>
      <c r="B10" s="19">
        <f>'Calculos y Secuencia'!E21</f>
        <v/>
      </c>
    </row>
    <row r="11">
      <c r="A11" s="19">
        <f>'Calculos y Secuencia'!E21</f>
        <v/>
      </c>
      <c r="B11" s="19">
        <f>'Calculos y Secuencia'!E22</f>
        <v/>
      </c>
    </row>
    <row r="12">
      <c r="A12" s="19">
        <f>'Calculos y Secuencia'!E22</f>
        <v/>
      </c>
      <c r="B12" s="19">
        <f>'Calculos y Secuencia'!E23</f>
        <v/>
      </c>
    </row>
    <row r="13">
      <c r="A13" s="19">
        <f>'Calculos y Secuencia'!E23</f>
        <v/>
      </c>
      <c r="B13" s="19">
        <f>'Calculos y Secuencia'!E24</f>
        <v/>
      </c>
    </row>
    <row r="14">
      <c r="A14" s="19">
        <f>'Calculos y Secuencia'!E24</f>
        <v/>
      </c>
      <c r="B14" s="19">
        <f>'Calculos y Secuencia'!E25</f>
        <v/>
      </c>
    </row>
    <row r="15">
      <c r="A15" s="19">
        <f>'Calculos y Secuencia'!E25</f>
        <v/>
      </c>
      <c r="B15" s="19">
        <f>'Calculos y Secuencia'!E26</f>
        <v/>
      </c>
    </row>
    <row r="16">
      <c r="A16" s="19">
        <f>'Calculos y Secuencia'!E26</f>
        <v/>
      </c>
      <c r="B16" s="19">
        <f>'Calculos y Secuencia'!E27</f>
        <v/>
      </c>
    </row>
    <row r="17">
      <c r="A17" s="19">
        <f>'Calculos y Secuencia'!E27</f>
        <v/>
      </c>
      <c r="B17" s="19">
        <f>'Calculos y Secuencia'!E28</f>
        <v/>
      </c>
    </row>
    <row r="18">
      <c r="A18" s="19">
        <f>'Calculos y Secuencia'!E28</f>
        <v/>
      </c>
      <c r="B18" s="19">
        <f>'Calculos y Secuencia'!E29</f>
        <v/>
      </c>
    </row>
    <row r="19">
      <c r="A19" s="19">
        <f>'Calculos y Secuencia'!E29</f>
        <v/>
      </c>
      <c r="B19" s="19">
        <f>'Calculos y Secuencia'!E30</f>
        <v/>
      </c>
    </row>
    <row r="20">
      <c r="A20" s="19">
        <f>'Calculos y Secuencia'!E30</f>
        <v/>
      </c>
      <c r="B20" s="19">
        <f>'Calculos y Secuencia'!E31</f>
        <v/>
      </c>
    </row>
    <row r="21">
      <c r="A21" s="19">
        <f>'Calculos y Secuencia'!E31</f>
        <v/>
      </c>
      <c r="B21" s="19">
        <f>'Calculos y Secuencia'!E32</f>
        <v/>
      </c>
    </row>
    <row r="22">
      <c r="A22" s="19">
        <f>'Calculos y Secuencia'!E32</f>
        <v/>
      </c>
      <c r="B22" s="19">
        <f>'Calculos y Secuencia'!E33</f>
        <v/>
      </c>
    </row>
    <row r="23">
      <c r="A23" s="19">
        <f>'Calculos y Secuencia'!E33</f>
        <v/>
      </c>
      <c r="B23" s="19">
        <f>'Calculos y Secuencia'!E34</f>
        <v/>
      </c>
    </row>
    <row r="24">
      <c r="A24" s="19">
        <f>'Calculos y Secuencia'!E34</f>
        <v/>
      </c>
      <c r="B24" s="19">
        <f>'Calculos y Secuencia'!E35</f>
        <v/>
      </c>
    </row>
  </sheetData>
  <mergeCells count="1"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2026-08-23T03:11:29Z</dcterms:created>
  <dcterms:modified xmlns:dcterms="http://purl.org/dc/terms/" xmlns:xsi="http://www.w3.org/2001/XMLSchema-instance" xsi:type="dcterms:W3CDTF">2026-08-23T03:11:29Z</dcterms:modified>
</cp:coreProperties>
</file>